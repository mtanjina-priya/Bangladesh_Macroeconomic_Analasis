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ntiers In Public Health\"/>
    </mc:Choice>
  </mc:AlternateContent>
  <xr:revisionPtr revIDLastSave="0" documentId="13_ncr:1_{F61F0143-36BD-45B3-B933-3439C27C4A86}" xr6:coauthVersionLast="36" xr6:coauthVersionMax="36" xr10:uidLastSave="{00000000-0000-0000-0000-000000000000}"/>
  <bookViews>
    <workbookView xWindow="0" yWindow="0" windowWidth="20490" windowHeight="7125" activeTab="3" xr2:uid="{B2215B5C-43EE-4F80-B4A2-22BB9C47CFD6}"/>
  </bookViews>
  <sheets>
    <sheet name="Raw_Data" sheetId="1" r:id="rId1"/>
    <sheet name="Cleaned_ Data" sheetId="2" r:id="rId2"/>
    <sheet name="Analysis" sheetId="3" r:id="rId3"/>
    <sheet name="Charts" sheetId="4" r:id="rId4"/>
  </sheets>
  <definedNames>
    <definedName name="_xlnm._FilterDatabase" localSheetId="1" hidden="1">'Cleaned_ Data'!$A$1:$D$35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C24" i="3"/>
  <c r="B24" i="3"/>
  <c r="B23" i="3"/>
  <c r="B15" i="3"/>
  <c r="C15" i="3"/>
  <c r="D15" i="3" s="1"/>
  <c r="B16" i="3"/>
  <c r="C16" i="3"/>
  <c r="D16" i="3" s="1"/>
  <c r="B17" i="3"/>
  <c r="C17" i="3"/>
  <c r="D17" i="3" s="1"/>
  <c r="F17" i="3" s="1"/>
  <c r="F10" i="3"/>
  <c r="F9" i="3"/>
  <c r="F8" i="3"/>
  <c r="E10" i="3"/>
  <c r="E9" i="3"/>
  <c r="E8" i="3"/>
  <c r="D10" i="3"/>
  <c r="D9" i="3"/>
  <c r="D8" i="3"/>
  <c r="C10" i="3"/>
  <c r="C9" i="3"/>
  <c r="C8" i="3"/>
  <c r="B10" i="3"/>
  <c r="B9" i="3"/>
  <c r="B8" i="3"/>
  <c r="E17" i="3" l="1"/>
  <c r="E16" i="3"/>
  <c r="F16" i="3"/>
  <c r="E15" i="3"/>
  <c r="F15" i="3"/>
</calcChain>
</file>

<file path=xl/sharedStrings.xml><?xml version="1.0" encoding="utf-8"?>
<sst xmlns="http://schemas.openxmlformats.org/spreadsheetml/2006/main" count="46" uniqueCount="28">
  <si>
    <t>Year</t>
  </si>
  <si>
    <t>Unemployment</t>
  </si>
  <si>
    <t>Inflation</t>
  </si>
  <si>
    <t>GDP Growth</t>
  </si>
  <si>
    <t>Dataset</t>
  </si>
  <si>
    <t>Bangladesh Macroeconomic Data</t>
  </si>
  <si>
    <t xml:space="preserve">Source </t>
  </si>
  <si>
    <t>World Bank</t>
  </si>
  <si>
    <t>Time Period</t>
  </si>
  <si>
    <t>1991–2024</t>
  </si>
  <si>
    <t>Number of Observations</t>
  </si>
  <si>
    <t>Variable</t>
  </si>
  <si>
    <t>Mean</t>
  </si>
  <si>
    <t>Median</t>
  </si>
  <si>
    <t>Min</t>
  </si>
  <si>
    <t>Max</t>
  </si>
  <si>
    <t>Standard Deviation</t>
  </si>
  <si>
    <t>Variables</t>
  </si>
  <si>
    <t>Q1</t>
  </si>
  <si>
    <t>Q3</t>
  </si>
  <si>
    <t>IQR</t>
  </si>
  <si>
    <t>Lower Bound</t>
  </si>
  <si>
    <t>Upper Bound</t>
  </si>
  <si>
    <t>Outliers</t>
  </si>
  <si>
    <t>None</t>
  </si>
  <si>
    <t xml:space="preserve">      Table 1: Descriptive Statistics</t>
  </si>
  <si>
    <t>Table 3: Correlation Matrix</t>
  </si>
  <si>
    <t>Table 2: IQR Outlier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</si>
</sst>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Border="1"/>
    <xf numFmtId="0" fontId="8" fillId="3" borderId="2" xfId="0" applyFont="1" applyFill="1" applyBorder="1" applyAlignment="1">
      <alignment horizontal="center"/>
    </xf>
    <xf numFmtId="2" fontId="6" fillId="5" borderId="1" xfId="0" applyNumberFormat="1" applyFont="1" applyFill="1" applyBorder="1"/>
    <xf numFmtId="0" fontId="5" fillId="3" borderId="2" xfId="0" applyFont="1" applyFill="1" applyBorder="1" applyAlignment="1">
      <alignment horizontal="center"/>
    </xf>
    <xf numFmtId="2" fontId="6" fillId="6" borderId="1" xfId="0" applyNumberFormat="1" applyFont="1" applyFill="1" applyBorder="1"/>
    <xf numFmtId="2" fontId="0" fillId="6" borderId="1" xfId="0" applyNumberFormat="1" applyFill="1" applyBorder="1"/>
    <xf numFmtId="165" fontId="0" fillId="6" borderId="1" xfId="0" applyNumberFormat="1" applyFill="1" applyBorder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2" fontId="0" fillId="6" borderId="10" xfId="0" applyNumberFormat="1" applyFill="1" applyBorder="1"/>
    <xf numFmtId="0" fontId="2" fillId="6" borderId="11" xfId="0" applyFont="1" applyFill="1" applyBorder="1" applyAlignment="1">
      <alignment horizontal="center"/>
    </xf>
    <xf numFmtId="165" fontId="0" fillId="6" borderId="3" xfId="0" applyNumberFormat="1" applyFill="1" applyBorder="1"/>
    <xf numFmtId="165" fontId="0" fillId="6" borderId="12" xfId="0" applyNumberFormat="1" applyFill="1" applyBorder="1"/>
    <xf numFmtId="0" fontId="5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right"/>
    </xf>
    <xf numFmtId="0" fontId="5" fillId="6" borderId="11" xfId="0" applyFont="1" applyFill="1" applyBorder="1" applyAlignment="1">
      <alignment horizontal="center"/>
    </xf>
    <xf numFmtId="2" fontId="6" fillId="6" borderId="3" xfId="0" applyNumberFormat="1" applyFont="1" applyFill="1" applyBorder="1"/>
    <xf numFmtId="0" fontId="6" fillId="6" borderId="12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2" fontId="6" fillId="5" borderId="10" xfId="0" applyNumberFormat="1" applyFont="1" applyFill="1" applyBorder="1"/>
    <xf numFmtId="0" fontId="5" fillId="5" borderId="11" xfId="0" applyFont="1" applyFill="1" applyBorder="1" applyAlignment="1">
      <alignment horizontal="center"/>
    </xf>
    <xf numFmtId="2" fontId="6" fillId="5" borderId="3" xfId="0" applyNumberFormat="1" applyFont="1" applyFill="1" applyBorder="1"/>
    <xf numFmtId="2" fontId="6" fillId="5" borderId="12" xfId="0" applyNumberFormat="1" applyFont="1" applyFill="1" applyBorder="1"/>
    <xf numFmtId="0" fontId="1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3" fillId="0" borderId="4" xfId="0" applyFont="1" applyBorder="1"/>
    <xf numFmtId="0" fontId="4" fillId="0" borderId="6" xfId="0" applyFont="1" applyBorder="1" applyAlignment="1">
      <alignment horizontal="center"/>
    </xf>
    <xf numFmtId="0" fontId="3" fillId="0" borderId="19" xfId="0" applyFont="1" applyBorder="1"/>
    <xf numFmtId="0" fontId="4" fillId="0" borderId="14" xfId="0" applyFont="1" applyBorder="1" applyAlignment="1">
      <alignment horizontal="center"/>
    </xf>
    <xf numFmtId="0" fontId="3" fillId="0" borderId="16" xfId="0" applyFont="1" applyBorder="1"/>
    <xf numFmtId="0" fontId="4" fillId="0" borderId="13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Border="1"/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9" fillId="0" borderId="19" xfId="0" applyFont="1" applyFill="1" applyBorder="1" applyAlignment="1"/>
    <xf numFmtId="0" fontId="9" fillId="0" borderId="0" xfId="0" applyFont="1" applyFill="1" applyBorder="1" applyAlignment="1"/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 Trend in Bangladesh (1991-2024)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23380850910277E-2"/>
          <c:y val="0.13940310780839055"/>
          <c:w val="0.88851624371844995"/>
          <c:h val="0.67431150549301377"/>
        </c:manualLayout>
      </c:layout>
      <c:lineChart>
        <c:grouping val="stacked"/>
        <c:varyColors val="0"/>
        <c:ser>
          <c:idx val="0"/>
          <c:order val="0"/>
          <c:tx>
            <c:strRef>
              <c:f>'Cleaned_ Data'!$B$1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'Cleaned_ Data'!$A$2:$A$35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'Cleaned_ Data'!$B$2:$B$35</c:f>
              <c:numCache>
                <c:formatCode>0.0</c:formatCode>
                <c:ptCount val="34"/>
                <c:pt idx="0">
                  <c:v>2.2000000000000002</c:v>
                </c:pt>
                <c:pt idx="1">
                  <c:v>2.2000000000000002</c:v>
                </c:pt>
                <c:pt idx="2">
                  <c:v>2.2999999999999998</c:v>
                </c:pt>
                <c:pt idx="3">
                  <c:v>2.4</c:v>
                </c:pt>
                <c:pt idx="4">
                  <c:v>2.4</c:v>
                </c:pt>
                <c:pt idx="5">
                  <c:v>2.5</c:v>
                </c:pt>
                <c:pt idx="6">
                  <c:v>2.7</c:v>
                </c:pt>
                <c:pt idx="7">
                  <c:v>2.9</c:v>
                </c:pt>
                <c:pt idx="8">
                  <c:v>3.1</c:v>
                </c:pt>
                <c:pt idx="9">
                  <c:v>3.3</c:v>
                </c:pt>
                <c:pt idx="10">
                  <c:v>3.6</c:v>
                </c:pt>
                <c:pt idx="11">
                  <c:v>4</c:v>
                </c:pt>
                <c:pt idx="12">
                  <c:v>4.3</c:v>
                </c:pt>
                <c:pt idx="13">
                  <c:v>4.3</c:v>
                </c:pt>
                <c:pt idx="14">
                  <c:v>4.3</c:v>
                </c:pt>
                <c:pt idx="15">
                  <c:v>3.6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3.4</c:v>
                </c:pt>
                <c:pt idx="20">
                  <c:v>3.7</c:v>
                </c:pt>
                <c:pt idx="21">
                  <c:v>4.0999999999999996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4.3</c:v>
                </c:pt>
                <c:pt idx="26">
                  <c:v>4.4000000000000004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5.4</c:v>
                </c:pt>
                <c:pt idx="30">
                  <c:v>5.3</c:v>
                </c:pt>
                <c:pt idx="31">
                  <c:v>4.5999999999999996</c:v>
                </c:pt>
                <c:pt idx="32">
                  <c:v>4.5</c:v>
                </c:pt>
                <c:pt idx="33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8-4621-83E3-9AFCFFF98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924992"/>
        <c:axId val="1323247424"/>
      </c:lineChart>
      <c:catAx>
        <c:axId val="157292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Year</a:t>
                </a:r>
              </a:p>
            </c:rich>
          </c:tx>
          <c:layout>
            <c:manualLayout>
              <c:xMode val="edge"/>
              <c:yMode val="edge"/>
              <c:x val="0.49338590273900279"/>
              <c:y val="0.90527561012759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47424"/>
        <c:crosses val="autoZero"/>
        <c:auto val="1"/>
        <c:lblAlgn val="ctr"/>
        <c:lblOffset val="100"/>
        <c:noMultiLvlLbl val="0"/>
      </c:catAx>
      <c:valAx>
        <c:axId val="13232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Unemployment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 Growth </a:t>
            </a:r>
            <a:r>
              <a:rPr lang="en-US" sz="1400" b="1" i="0" u="none" strike="noStrike" baseline="0">
                <a:effectLst/>
              </a:rPr>
              <a:t>Trend in Bangladesh (1991-2024)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811823513205027E-2"/>
          <c:y val="0.15724422438939062"/>
          <c:w val="0.89170298726165353"/>
          <c:h val="0.65080279858634693"/>
        </c:manualLayout>
      </c:layout>
      <c:lineChart>
        <c:grouping val="standard"/>
        <c:varyColors val="0"/>
        <c:ser>
          <c:idx val="0"/>
          <c:order val="0"/>
          <c:tx>
            <c:strRef>
              <c:f>'Cleaned_ Data'!$D$1</c:f>
              <c:strCache>
                <c:ptCount val="1"/>
                <c:pt idx="0">
                  <c:v>GDP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'Cleaned_ Data'!$A$2:$A$35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'Cleaned_ Data'!$D$2:$D$35</c:f>
              <c:numCache>
                <c:formatCode>0.0</c:formatCode>
                <c:ptCount val="34"/>
                <c:pt idx="0">
                  <c:v>3.5</c:v>
                </c:pt>
                <c:pt idx="1">
                  <c:v>5.4</c:v>
                </c:pt>
                <c:pt idx="2">
                  <c:v>4.7</c:v>
                </c:pt>
                <c:pt idx="3">
                  <c:v>3.9</c:v>
                </c:pt>
                <c:pt idx="4">
                  <c:v>5.0999999999999996</c:v>
                </c:pt>
                <c:pt idx="5">
                  <c:v>4.5</c:v>
                </c:pt>
                <c:pt idx="6">
                  <c:v>4.5</c:v>
                </c:pt>
                <c:pt idx="7">
                  <c:v>5.2</c:v>
                </c:pt>
                <c:pt idx="8">
                  <c:v>4.7</c:v>
                </c:pt>
                <c:pt idx="9">
                  <c:v>5.3</c:v>
                </c:pt>
                <c:pt idx="10">
                  <c:v>5.0999999999999996</c:v>
                </c:pt>
                <c:pt idx="11">
                  <c:v>3.8</c:v>
                </c:pt>
                <c:pt idx="12">
                  <c:v>4.7</c:v>
                </c:pt>
                <c:pt idx="13">
                  <c:v>5.2</c:v>
                </c:pt>
                <c:pt idx="14">
                  <c:v>6.5</c:v>
                </c:pt>
                <c:pt idx="15">
                  <c:v>6.7</c:v>
                </c:pt>
                <c:pt idx="16">
                  <c:v>7.1</c:v>
                </c:pt>
                <c:pt idx="17">
                  <c:v>6</c:v>
                </c:pt>
                <c:pt idx="18">
                  <c:v>5</c:v>
                </c:pt>
                <c:pt idx="19">
                  <c:v>5.6</c:v>
                </c:pt>
                <c:pt idx="20">
                  <c:v>6.5</c:v>
                </c:pt>
                <c:pt idx="21">
                  <c:v>6.5</c:v>
                </c:pt>
                <c:pt idx="22">
                  <c:v>6</c:v>
                </c:pt>
                <c:pt idx="23">
                  <c:v>6.1</c:v>
                </c:pt>
                <c:pt idx="24">
                  <c:v>6.6</c:v>
                </c:pt>
                <c:pt idx="25">
                  <c:v>7.1</c:v>
                </c:pt>
                <c:pt idx="26">
                  <c:v>6.6</c:v>
                </c:pt>
                <c:pt idx="27">
                  <c:v>7.3</c:v>
                </c:pt>
                <c:pt idx="28">
                  <c:v>7.9</c:v>
                </c:pt>
                <c:pt idx="29">
                  <c:v>3.4</c:v>
                </c:pt>
                <c:pt idx="30">
                  <c:v>6.9</c:v>
                </c:pt>
                <c:pt idx="31">
                  <c:v>7.1</c:v>
                </c:pt>
                <c:pt idx="32">
                  <c:v>5.8</c:v>
                </c:pt>
                <c:pt idx="3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2-4521-B08F-2880757A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438560"/>
        <c:axId val="1334123856"/>
      </c:lineChart>
      <c:catAx>
        <c:axId val="164543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</a:t>
                </a:r>
              </a:p>
            </c:rich>
          </c:tx>
          <c:layout>
            <c:manualLayout>
              <c:xMode val="edge"/>
              <c:yMode val="edge"/>
              <c:x val="0.50231755513319454"/>
              <c:y val="0.91653023693675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123856"/>
        <c:crosses val="autoZero"/>
        <c:auto val="1"/>
        <c:lblAlgn val="ctr"/>
        <c:lblOffset val="100"/>
        <c:noMultiLvlLbl val="0"/>
      </c:catAx>
      <c:valAx>
        <c:axId val="13341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GDP</a:t>
                </a:r>
                <a:r>
                  <a:rPr lang="en-US" sz="1200" b="1" baseline="0"/>
                  <a:t> Growth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5.3326092859082271E-3"/>
              <c:y val="0.24209846109661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Unemployment vs Inflation in Bangladesh (1991-2024)</a:t>
            </a:r>
            <a:endParaRPr lang="en-US" b="1"/>
          </a:p>
        </c:rich>
      </c:tx>
      <c:layout>
        <c:manualLayout>
          <c:xMode val="edge"/>
          <c:yMode val="edge"/>
          <c:x val="0.12144717800289435"/>
          <c:y val="3.3802806904644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9359334469156"/>
          <c:y val="0.16429678848283499"/>
          <c:w val="0.67851726927766431"/>
          <c:h val="0.628180430934505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'Cleaned_ Data'!$C$1</c:f>
              <c:strCache>
                <c:ptCount val="1"/>
                <c:pt idx="0">
                  <c:v>Inflation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'Cleaned_ Data'!$B$2:$B$35</c:f>
              <c:numCache>
                <c:formatCode>0.0</c:formatCode>
                <c:ptCount val="34"/>
                <c:pt idx="0">
                  <c:v>2.2000000000000002</c:v>
                </c:pt>
                <c:pt idx="1">
                  <c:v>2.2000000000000002</c:v>
                </c:pt>
                <c:pt idx="2">
                  <c:v>2.2999999999999998</c:v>
                </c:pt>
                <c:pt idx="3">
                  <c:v>2.4</c:v>
                </c:pt>
                <c:pt idx="4">
                  <c:v>2.4</c:v>
                </c:pt>
                <c:pt idx="5">
                  <c:v>2.5</c:v>
                </c:pt>
                <c:pt idx="6">
                  <c:v>2.7</c:v>
                </c:pt>
                <c:pt idx="7">
                  <c:v>2.9</c:v>
                </c:pt>
                <c:pt idx="8">
                  <c:v>3.1</c:v>
                </c:pt>
                <c:pt idx="9">
                  <c:v>3.3</c:v>
                </c:pt>
                <c:pt idx="10">
                  <c:v>3.6</c:v>
                </c:pt>
                <c:pt idx="11">
                  <c:v>4</c:v>
                </c:pt>
                <c:pt idx="12">
                  <c:v>4.3</c:v>
                </c:pt>
                <c:pt idx="13">
                  <c:v>4.3</c:v>
                </c:pt>
                <c:pt idx="14">
                  <c:v>4.3</c:v>
                </c:pt>
                <c:pt idx="15">
                  <c:v>3.6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3.4</c:v>
                </c:pt>
                <c:pt idx="20">
                  <c:v>3.7</c:v>
                </c:pt>
                <c:pt idx="21">
                  <c:v>4.0999999999999996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4.3</c:v>
                </c:pt>
                <c:pt idx="26">
                  <c:v>4.4000000000000004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5.4</c:v>
                </c:pt>
                <c:pt idx="30">
                  <c:v>5.3</c:v>
                </c:pt>
                <c:pt idx="31">
                  <c:v>4.5999999999999996</c:v>
                </c:pt>
                <c:pt idx="32">
                  <c:v>4.5</c:v>
                </c:pt>
                <c:pt idx="33">
                  <c:v>4.7</c:v>
                </c:pt>
              </c:numCache>
            </c:numRef>
          </c:xVal>
          <c:yVal>
            <c:numRef>
              <c:f>'Cleaned_ Data'!$C$2:$C$35</c:f>
              <c:numCache>
                <c:formatCode>0.0</c:formatCode>
                <c:ptCount val="34"/>
                <c:pt idx="0">
                  <c:v>6.4</c:v>
                </c:pt>
                <c:pt idx="1">
                  <c:v>3.6</c:v>
                </c:pt>
                <c:pt idx="2">
                  <c:v>3</c:v>
                </c:pt>
                <c:pt idx="3">
                  <c:v>5.3</c:v>
                </c:pt>
                <c:pt idx="4">
                  <c:v>10.3</c:v>
                </c:pt>
                <c:pt idx="5">
                  <c:v>2.4</c:v>
                </c:pt>
                <c:pt idx="6">
                  <c:v>5.3</c:v>
                </c:pt>
                <c:pt idx="7">
                  <c:v>8.4</c:v>
                </c:pt>
                <c:pt idx="8">
                  <c:v>6.1</c:v>
                </c:pt>
                <c:pt idx="9">
                  <c:v>2.2000000000000002</c:v>
                </c:pt>
                <c:pt idx="10">
                  <c:v>2</c:v>
                </c:pt>
                <c:pt idx="11">
                  <c:v>3.3</c:v>
                </c:pt>
                <c:pt idx="12">
                  <c:v>5.7</c:v>
                </c:pt>
                <c:pt idx="13">
                  <c:v>7.6</c:v>
                </c:pt>
                <c:pt idx="14">
                  <c:v>7</c:v>
                </c:pt>
                <c:pt idx="15">
                  <c:v>6.8</c:v>
                </c:pt>
                <c:pt idx="16">
                  <c:v>9.1</c:v>
                </c:pt>
                <c:pt idx="17">
                  <c:v>8.9</c:v>
                </c:pt>
                <c:pt idx="18">
                  <c:v>5.4</c:v>
                </c:pt>
                <c:pt idx="19">
                  <c:v>8.1</c:v>
                </c:pt>
                <c:pt idx="20">
                  <c:v>11.4</c:v>
                </c:pt>
                <c:pt idx="21">
                  <c:v>6.2</c:v>
                </c:pt>
                <c:pt idx="22">
                  <c:v>7.5</c:v>
                </c:pt>
                <c:pt idx="23">
                  <c:v>7</c:v>
                </c:pt>
                <c:pt idx="24">
                  <c:v>6.2</c:v>
                </c:pt>
                <c:pt idx="25">
                  <c:v>5.5</c:v>
                </c:pt>
                <c:pt idx="26">
                  <c:v>5.7</c:v>
                </c:pt>
                <c:pt idx="27">
                  <c:v>5.5</c:v>
                </c:pt>
                <c:pt idx="28">
                  <c:v>5.6</c:v>
                </c:pt>
                <c:pt idx="29">
                  <c:v>5.7</c:v>
                </c:pt>
                <c:pt idx="30">
                  <c:v>5.5</c:v>
                </c:pt>
                <c:pt idx="31">
                  <c:v>7.7</c:v>
                </c:pt>
                <c:pt idx="32">
                  <c:v>9.9</c:v>
                </c:pt>
                <c:pt idx="33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8C-4058-919E-F297DA31D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351952"/>
        <c:axId val="1824980208"/>
      </c:scatterChart>
      <c:valAx>
        <c:axId val="16503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Unemployment</a:t>
                </a:r>
                <a:r>
                  <a:rPr lang="en-US" sz="1200" b="1" baseline="0"/>
                  <a:t> (%)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6852505593096085"/>
              <c:y val="0.90214190909262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208"/>
        <c:crosses val="autoZero"/>
        <c:crossBetween val="midCat"/>
      </c:valAx>
      <c:valAx>
        <c:axId val="18249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Inflation</a:t>
                </a:r>
                <a:r>
                  <a:rPr lang="en-US" sz="1200" b="1" baseline="0"/>
                  <a:t> (%)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1.9493177387914229E-2"/>
              <c:y val="0.32983772377290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5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54593555689779"/>
          <c:y val="0.46696104847359199"/>
          <c:w val="0.17711027800251455"/>
          <c:h val="0.287960516563336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Inflation </a:t>
            </a:r>
            <a:r>
              <a:rPr lang="en-US" sz="1400" b="1" i="0" u="none" strike="noStrike" baseline="0">
                <a:effectLst/>
              </a:rPr>
              <a:t>Trend in Bangladesh (1991-2024)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16845981111025E-2"/>
          <c:y val="0.13813780260707634"/>
          <c:w val="0.88103494256870518"/>
          <c:h val="0.64809343308877176"/>
        </c:manualLayout>
      </c:layout>
      <c:lineChart>
        <c:grouping val="standard"/>
        <c:varyColors val="0"/>
        <c:ser>
          <c:idx val="0"/>
          <c:order val="0"/>
          <c:tx>
            <c:strRef>
              <c:f>'Cleaned_ Data'!$C$1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'Cleaned_ Data'!$A$2:$A$35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'Cleaned_ Data'!$C$2:$C$35</c:f>
              <c:numCache>
                <c:formatCode>0.0</c:formatCode>
                <c:ptCount val="34"/>
                <c:pt idx="0">
                  <c:v>6.4</c:v>
                </c:pt>
                <c:pt idx="1">
                  <c:v>3.6</c:v>
                </c:pt>
                <c:pt idx="2">
                  <c:v>3</c:v>
                </c:pt>
                <c:pt idx="3">
                  <c:v>5.3</c:v>
                </c:pt>
                <c:pt idx="4">
                  <c:v>10.3</c:v>
                </c:pt>
                <c:pt idx="5">
                  <c:v>2.4</c:v>
                </c:pt>
                <c:pt idx="6">
                  <c:v>5.3</c:v>
                </c:pt>
                <c:pt idx="7">
                  <c:v>8.4</c:v>
                </c:pt>
                <c:pt idx="8">
                  <c:v>6.1</c:v>
                </c:pt>
                <c:pt idx="9">
                  <c:v>2.2000000000000002</c:v>
                </c:pt>
                <c:pt idx="10">
                  <c:v>2</c:v>
                </c:pt>
                <c:pt idx="11">
                  <c:v>3.3</c:v>
                </c:pt>
                <c:pt idx="12">
                  <c:v>5.7</c:v>
                </c:pt>
                <c:pt idx="13">
                  <c:v>7.6</c:v>
                </c:pt>
                <c:pt idx="14">
                  <c:v>7</c:v>
                </c:pt>
                <c:pt idx="15">
                  <c:v>6.8</c:v>
                </c:pt>
                <c:pt idx="16">
                  <c:v>9.1</c:v>
                </c:pt>
                <c:pt idx="17">
                  <c:v>8.9</c:v>
                </c:pt>
                <c:pt idx="18">
                  <c:v>5.4</c:v>
                </c:pt>
                <c:pt idx="19">
                  <c:v>8.1</c:v>
                </c:pt>
                <c:pt idx="20">
                  <c:v>11.4</c:v>
                </c:pt>
                <c:pt idx="21">
                  <c:v>6.2</c:v>
                </c:pt>
                <c:pt idx="22">
                  <c:v>7.5</c:v>
                </c:pt>
                <c:pt idx="23">
                  <c:v>7</c:v>
                </c:pt>
                <c:pt idx="24">
                  <c:v>6.2</c:v>
                </c:pt>
                <c:pt idx="25">
                  <c:v>5.5</c:v>
                </c:pt>
                <c:pt idx="26">
                  <c:v>5.7</c:v>
                </c:pt>
                <c:pt idx="27">
                  <c:v>5.5</c:v>
                </c:pt>
                <c:pt idx="28">
                  <c:v>5.6</c:v>
                </c:pt>
                <c:pt idx="29">
                  <c:v>5.7</c:v>
                </c:pt>
                <c:pt idx="30">
                  <c:v>5.5</c:v>
                </c:pt>
                <c:pt idx="31">
                  <c:v>7.7</c:v>
                </c:pt>
                <c:pt idx="32">
                  <c:v>9.9</c:v>
                </c:pt>
                <c:pt idx="33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A-4173-AB54-7C73D2906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51184"/>
        <c:axId val="1323256880"/>
      </c:lineChart>
      <c:catAx>
        <c:axId val="164175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</a:t>
                </a:r>
              </a:p>
            </c:rich>
          </c:tx>
          <c:layout>
            <c:manualLayout>
              <c:xMode val="edge"/>
              <c:yMode val="edge"/>
              <c:x val="0.51752961912155038"/>
              <c:y val="0.89909748725551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56880"/>
        <c:crosses val="autoZero"/>
        <c:auto val="1"/>
        <c:lblAlgn val="ctr"/>
        <c:lblOffset val="100"/>
        <c:noMultiLvlLbl val="0"/>
      </c:catAx>
      <c:valAx>
        <c:axId val="13232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Inflation</a:t>
                </a:r>
              </a:p>
            </c:rich>
          </c:tx>
          <c:layout>
            <c:manualLayout>
              <c:xMode val="edge"/>
              <c:yMode val="edge"/>
              <c:x val="1.5744153781951837E-2"/>
              <c:y val="0.33610170237100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5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179916</xdr:rowOff>
    </xdr:from>
    <xdr:to>
      <xdr:col>11</xdr:col>
      <xdr:colOff>0</xdr:colOff>
      <xdr:row>22</xdr:row>
      <xdr:rowOff>23811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DA3F5-1E44-4030-94F1-1A137AE4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23</xdr:row>
      <xdr:rowOff>190498</xdr:rowOff>
    </xdr:from>
    <xdr:to>
      <xdr:col>11</xdr:col>
      <xdr:colOff>0</xdr:colOff>
      <xdr:row>46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5C40D-7F5B-4CB9-9DCB-39FF1D205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603250</xdr:colOff>
      <xdr:row>24</xdr:row>
      <xdr:rowOff>9523</xdr:rowOff>
    </xdr:from>
    <xdr:to>
      <xdr:col>22</xdr:col>
      <xdr:colOff>613833</xdr:colOff>
      <xdr:row>47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0103E2-A6AE-44C0-8ACE-090C657E8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603251</xdr:colOff>
      <xdr:row>1</xdr:row>
      <xdr:rowOff>0</xdr:rowOff>
    </xdr:from>
    <xdr:to>
      <xdr:col>23</xdr:col>
      <xdr:colOff>23813</xdr:colOff>
      <xdr:row>21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C75548-8332-4AD6-AA34-E990AD8E6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D6611-4164-434A-815C-E381093EE82B}" name="Table3" displayName="Table3" ref="A1:D35" totalsRowShown="0">
  <tableColumns count="4">
    <tableColumn id="1" xr3:uid="{D73AD866-7074-4298-9089-103FEF913740}" name="Year"/>
    <tableColumn id="2" xr3:uid="{B750BCC6-870E-4A72-A335-C6BAC5CA8E13}" name="Unemployment"/>
    <tableColumn id="3" xr3:uid="{2FA3BE17-BD89-4A24-B06F-49E9A5FFC63D}" name="Inflation"/>
    <tableColumn id="4" xr3:uid="{15DBB598-B2DC-403B-AC60-88E2DE69150D}" name="GDP Growth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59605-0F11-4275-A5A2-129DF61118CF}" name="Table1" displayName="Table1" ref="A1:D35" totalsRowShown="0" headerRowDxfId="0">
  <autoFilter ref="A1:D35" xr:uid="{B9168947-5EC0-430E-9CC6-912FE1CF47AC}"/>
  <tableColumns count="4">
    <tableColumn id="1" xr3:uid="{1A19364A-C84A-4A1E-AB07-800448FF36AE}" name="Year"/>
    <tableColumn id="2" xr3:uid="{E693EA90-6974-480F-813B-E0F36A1C6820}" name="Unemployment" dataDxfId="3"/>
    <tableColumn id="3" xr3:uid="{77ACEB3F-3491-42BC-B8DD-8F02CFD4FD91}" name="Inflation" dataDxfId="2"/>
    <tableColumn id="4" xr3:uid="{F7FEFF81-A437-408D-9886-FBF4BA8077C1}" name="GDP Growth" dataDxfId="1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5E7229-C084-462D-ADC1-9442BBCC8359}" name="Table2" displayName="Table2" ref="A7:F10" totalsRowShown="0" headerRowDxfId="35" dataDxfId="33" headerRowBorderDxfId="34" tableBorderDxfId="32" totalsRowBorderDxfId="31">
  <tableColumns count="6">
    <tableColumn id="1" xr3:uid="{07078BD3-4A79-4548-955A-2384F51282E0}" name="Variable" dataDxfId="30"/>
    <tableColumn id="2" xr3:uid="{8A8B94D1-C115-4562-AF5D-9474D5556772}" name="Mean" dataDxfId="29">
      <calculatedColumnFormula>AVERAGE('Cleaned_ Data'!B2,'Cleaned_ Data'!B35)</calculatedColumnFormula>
    </tableColumn>
    <tableColumn id="3" xr3:uid="{CE0CBDC5-F39E-4618-9FB7-964AE7C2C2B6}" name="Median" dataDxfId="28"/>
    <tableColumn id="4" xr3:uid="{752F3FEB-2CC1-4BA4-A1BB-528B9DCF1900}" name="Min" dataDxfId="27"/>
    <tableColumn id="5" xr3:uid="{BCEE45A7-1FBC-4A7F-81F3-88DEBC2A9F63}" name="Max" dataDxfId="26"/>
    <tableColumn id="8" xr3:uid="{875D6E1B-6E18-4C83-939A-7BD425A850C9}" name="Standard Deviation" dataDxfId="2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32520E-A414-421B-9683-E0915A57B15C}" name="Table5" displayName="Table5" ref="A14:G17" totalsRowShown="0" headerRowDxfId="24" dataDxfId="22" headerRowBorderDxfId="23" tableBorderDxfId="21" totalsRowBorderDxfId="20">
  <tableColumns count="7">
    <tableColumn id="1" xr3:uid="{4E855D4B-FD53-4E24-9BD3-466FAA96B129}" name="Variable" dataDxfId="19"/>
    <tableColumn id="2" xr3:uid="{29F28BA8-07D8-444B-8A21-D1BE29B6AB96}" name="Q1" dataDxfId="18"/>
    <tableColumn id="3" xr3:uid="{04D27942-C088-4B49-9525-CF8C5C47614D}" name="Q3" dataDxfId="17"/>
    <tableColumn id="4" xr3:uid="{74555208-D585-4C98-80D4-8C234BC4EDDA}" name="IQR" dataDxfId="16"/>
    <tableColumn id="5" xr3:uid="{F71950D0-1AA5-4807-B306-8F2794B85776}" name="Lower Bound" dataDxfId="15"/>
    <tableColumn id="6" xr3:uid="{E72ACCF4-CAA8-4A77-B31E-4D12CDDDC92E}" name="Upper Bound" dataDxfId="14"/>
    <tableColumn id="7" xr3:uid="{BC20C0BA-8EBF-4B06-AE52-67ECF14C203D}" name="Outliers" dataDxfId="1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853B48-C44E-45AE-836E-79CA4ECB7A2B}" name="Table6" displayName="Table6" ref="A21:D24" totalsRowShown="0" headerRowDxfId="12" dataDxfId="10" headerRowBorderDxfId="11" tableBorderDxfId="9" totalsRowBorderDxfId="8">
  <tableColumns count="4">
    <tableColumn id="1" xr3:uid="{A29A419F-DA0A-4C39-A82C-A953BECDB709}" name="Variables" dataDxfId="7"/>
    <tableColumn id="2" xr3:uid="{A0589D6F-7FA0-4C6E-B0C8-7C80B8B6D0FF}" name="Unemployment" dataDxfId="6"/>
    <tableColumn id="3" xr3:uid="{8944A16A-9F43-4972-9EA9-CF90D860DFA1}" name="Inflation" dataDxfId="5"/>
    <tableColumn id="4" xr3:uid="{CF421D51-1D81-4E3C-AD21-B1D86CAEEC6F}" name="GDP Growth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F586-B72D-40C1-9FD2-68E67551D669}">
  <dimension ref="A1:D35"/>
  <sheetViews>
    <sheetView zoomScaleNormal="100" workbookViewId="0">
      <selection activeCell="J8" sqref="J8"/>
    </sheetView>
  </sheetViews>
  <sheetFormatPr defaultRowHeight="15" x14ac:dyDescent="0.25"/>
  <cols>
    <col min="2" max="2" width="17" customWidth="1"/>
    <col min="3" max="3" width="10.7109375" customWidth="1"/>
    <col min="4" max="4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1991</v>
      </c>
      <c r="B2">
        <v>2.2000000000000002</v>
      </c>
      <c r="C2">
        <v>6.4</v>
      </c>
      <c r="D2">
        <v>3.5</v>
      </c>
    </row>
    <row r="3" spans="1:4" x14ac:dyDescent="0.25">
      <c r="A3">
        <v>1992</v>
      </c>
      <c r="B3">
        <v>2.2000000000000002</v>
      </c>
      <c r="C3">
        <v>3.6</v>
      </c>
      <c r="D3">
        <v>5.4</v>
      </c>
    </row>
    <row r="4" spans="1:4" x14ac:dyDescent="0.25">
      <c r="A4">
        <v>1993</v>
      </c>
      <c r="B4">
        <v>2.2999999999999998</v>
      </c>
      <c r="C4">
        <v>3</v>
      </c>
      <c r="D4">
        <v>4.7</v>
      </c>
    </row>
    <row r="5" spans="1:4" x14ac:dyDescent="0.25">
      <c r="A5">
        <v>1994</v>
      </c>
      <c r="B5">
        <v>2.4</v>
      </c>
      <c r="C5">
        <v>5.3</v>
      </c>
      <c r="D5">
        <v>3.9</v>
      </c>
    </row>
    <row r="6" spans="1:4" x14ac:dyDescent="0.25">
      <c r="A6">
        <v>1995</v>
      </c>
      <c r="B6">
        <v>2.4</v>
      </c>
      <c r="C6">
        <v>10.3</v>
      </c>
      <c r="D6">
        <v>5.0999999999999996</v>
      </c>
    </row>
    <row r="7" spans="1:4" x14ac:dyDescent="0.25">
      <c r="A7">
        <v>1996</v>
      </c>
      <c r="B7">
        <v>2.5</v>
      </c>
      <c r="C7">
        <v>2.4</v>
      </c>
      <c r="D7">
        <v>4.5</v>
      </c>
    </row>
    <row r="8" spans="1:4" x14ac:dyDescent="0.25">
      <c r="A8">
        <v>1997</v>
      </c>
      <c r="B8">
        <v>2.7</v>
      </c>
      <c r="C8">
        <v>5.3</v>
      </c>
      <c r="D8">
        <v>4.5</v>
      </c>
    </row>
    <row r="9" spans="1:4" x14ac:dyDescent="0.25">
      <c r="A9">
        <v>1998</v>
      </c>
      <c r="B9">
        <v>2.9</v>
      </c>
      <c r="C9">
        <v>8.4</v>
      </c>
      <c r="D9">
        <v>5.2</v>
      </c>
    </row>
    <row r="10" spans="1:4" x14ac:dyDescent="0.25">
      <c r="A10">
        <v>1999</v>
      </c>
      <c r="B10">
        <v>3.1</v>
      </c>
      <c r="C10">
        <v>6.1</v>
      </c>
      <c r="D10">
        <v>4.7</v>
      </c>
    </row>
    <row r="11" spans="1:4" x14ac:dyDescent="0.25">
      <c r="A11">
        <v>2000</v>
      </c>
      <c r="B11">
        <v>3.3</v>
      </c>
      <c r="C11">
        <v>2.2000000000000002</v>
      </c>
      <c r="D11">
        <v>5.3</v>
      </c>
    </row>
    <row r="12" spans="1:4" x14ac:dyDescent="0.25">
      <c r="A12">
        <v>2001</v>
      </c>
      <c r="B12">
        <v>3.6</v>
      </c>
      <c r="C12">
        <v>2</v>
      </c>
      <c r="D12">
        <v>5.0999999999999996</v>
      </c>
    </row>
    <row r="13" spans="1:4" x14ac:dyDescent="0.25">
      <c r="A13">
        <v>2002</v>
      </c>
      <c r="B13">
        <v>4</v>
      </c>
      <c r="C13">
        <v>3.3</v>
      </c>
      <c r="D13">
        <v>3.8</v>
      </c>
    </row>
    <row r="14" spans="1:4" x14ac:dyDescent="0.25">
      <c r="A14">
        <v>2003</v>
      </c>
      <c r="B14">
        <v>4.3</v>
      </c>
      <c r="C14">
        <v>5.7</v>
      </c>
      <c r="D14">
        <v>4.7</v>
      </c>
    </row>
    <row r="15" spans="1:4" x14ac:dyDescent="0.25">
      <c r="A15">
        <v>2004</v>
      </c>
      <c r="B15">
        <v>4.3</v>
      </c>
      <c r="C15">
        <v>7.6</v>
      </c>
      <c r="D15">
        <v>5.2</v>
      </c>
    </row>
    <row r="16" spans="1:4" x14ac:dyDescent="0.25">
      <c r="A16">
        <v>2005</v>
      </c>
      <c r="B16">
        <v>4.3</v>
      </c>
      <c r="C16">
        <v>7</v>
      </c>
      <c r="D16">
        <v>6.5</v>
      </c>
    </row>
    <row r="17" spans="1:4" x14ac:dyDescent="0.25">
      <c r="A17">
        <v>2006</v>
      </c>
      <c r="B17">
        <v>3.6</v>
      </c>
      <c r="C17">
        <v>6.8</v>
      </c>
      <c r="D17">
        <v>6.7</v>
      </c>
    </row>
    <row r="18" spans="1:4" x14ac:dyDescent="0.25">
      <c r="A18">
        <v>2007</v>
      </c>
      <c r="B18">
        <v>4</v>
      </c>
      <c r="C18">
        <v>9.1</v>
      </c>
      <c r="D18">
        <v>7.1</v>
      </c>
    </row>
    <row r="19" spans="1:4" x14ac:dyDescent="0.25">
      <c r="A19">
        <v>2008</v>
      </c>
      <c r="B19">
        <v>4.5</v>
      </c>
      <c r="C19">
        <v>8.9</v>
      </c>
      <c r="D19">
        <v>6</v>
      </c>
    </row>
    <row r="20" spans="1:4" x14ac:dyDescent="0.25">
      <c r="A20">
        <v>2009</v>
      </c>
      <c r="B20">
        <v>5</v>
      </c>
      <c r="C20">
        <v>5.4</v>
      </c>
      <c r="D20">
        <v>5</v>
      </c>
    </row>
    <row r="21" spans="1:4" x14ac:dyDescent="0.25">
      <c r="A21">
        <v>2010</v>
      </c>
      <c r="B21">
        <v>3.4</v>
      </c>
      <c r="C21">
        <v>8.1</v>
      </c>
      <c r="D21">
        <v>5.6</v>
      </c>
    </row>
    <row r="22" spans="1:4" x14ac:dyDescent="0.25">
      <c r="A22">
        <v>2011</v>
      </c>
      <c r="B22">
        <v>3.7</v>
      </c>
      <c r="C22">
        <v>11.4</v>
      </c>
      <c r="D22">
        <v>6.5</v>
      </c>
    </row>
    <row r="23" spans="1:4" x14ac:dyDescent="0.25">
      <c r="A23">
        <v>2012</v>
      </c>
      <c r="B23">
        <v>4.0999999999999996</v>
      </c>
      <c r="C23">
        <v>6.2</v>
      </c>
      <c r="D23">
        <v>6.5</v>
      </c>
    </row>
    <row r="24" spans="1:4" x14ac:dyDescent="0.25">
      <c r="A24">
        <v>2013</v>
      </c>
      <c r="B24">
        <v>4.4000000000000004</v>
      </c>
      <c r="C24">
        <v>7.5</v>
      </c>
      <c r="D24">
        <v>6</v>
      </c>
    </row>
    <row r="25" spans="1:4" x14ac:dyDescent="0.25">
      <c r="A25">
        <v>2014</v>
      </c>
      <c r="B25">
        <v>4.4000000000000004</v>
      </c>
      <c r="C25">
        <v>7</v>
      </c>
      <c r="D25">
        <v>6.1</v>
      </c>
    </row>
    <row r="26" spans="1:4" x14ac:dyDescent="0.25">
      <c r="A26">
        <v>2015</v>
      </c>
      <c r="B26">
        <v>4.4000000000000004</v>
      </c>
      <c r="C26">
        <v>6.2</v>
      </c>
      <c r="D26">
        <v>6.6</v>
      </c>
    </row>
    <row r="27" spans="1:4" x14ac:dyDescent="0.25">
      <c r="A27">
        <v>2016</v>
      </c>
      <c r="B27">
        <v>4.3</v>
      </c>
      <c r="C27">
        <v>5.5</v>
      </c>
      <c r="D27">
        <v>7.1</v>
      </c>
    </row>
    <row r="28" spans="1:4" x14ac:dyDescent="0.25">
      <c r="A28">
        <v>2017</v>
      </c>
      <c r="B28">
        <v>4.4000000000000004</v>
      </c>
      <c r="C28">
        <v>5.7</v>
      </c>
      <c r="D28">
        <v>6.6</v>
      </c>
    </row>
    <row r="29" spans="1:4" x14ac:dyDescent="0.25">
      <c r="A29">
        <v>2018</v>
      </c>
      <c r="B29">
        <v>4.4000000000000004</v>
      </c>
      <c r="C29">
        <v>5.5</v>
      </c>
      <c r="D29">
        <v>7.3</v>
      </c>
    </row>
    <row r="30" spans="1:4" x14ac:dyDescent="0.25">
      <c r="A30">
        <v>2019</v>
      </c>
      <c r="B30">
        <v>4.4000000000000004</v>
      </c>
      <c r="C30">
        <v>5.6</v>
      </c>
      <c r="D30">
        <v>7.9</v>
      </c>
    </row>
    <row r="31" spans="1:4" x14ac:dyDescent="0.25">
      <c r="A31">
        <v>2020</v>
      </c>
      <c r="B31">
        <v>5.4</v>
      </c>
      <c r="C31">
        <v>5.7</v>
      </c>
      <c r="D31">
        <v>3.4</v>
      </c>
    </row>
    <row r="32" spans="1:4" x14ac:dyDescent="0.25">
      <c r="A32">
        <v>2021</v>
      </c>
      <c r="B32">
        <v>5.3</v>
      </c>
      <c r="C32">
        <v>5.5</v>
      </c>
      <c r="D32">
        <v>6.9</v>
      </c>
    </row>
    <row r="33" spans="1:4" x14ac:dyDescent="0.25">
      <c r="A33">
        <v>2022</v>
      </c>
      <c r="B33">
        <v>4.5999999999999996</v>
      </c>
      <c r="C33">
        <v>7.7</v>
      </c>
      <c r="D33">
        <v>7.1</v>
      </c>
    </row>
    <row r="34" spans="1:4" x14ac:dyDescent="0.25">
      <c r="A34">
        <v>2023</v>
      </c>
      <c r="B34">
        <v>4.5</v>
      </c>
      <c r="C34">
        <v>9.9</v>
      </c>
      <c r="D34">
        <v>5.8</v>
      </c>
    </row>
    <row r="35" spans="1:4" x14ac:dyDescent="0.25">
      <c r="A35">
        <v>2024</v>
      </c>
      <c r="B35">
        <v>4.7</v>
      </c>
      <c r="C35">
        <v>10.5</v>
      </c>
      <c r="D35">
        <v>4.2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6E1D-E91F-4FD2-AE40-9393541EC100}">
  <dimension ref="A1:F35"/>
  <sheetViews>
    <sheetView workbookViewId="0">
      <selection activeCell="E1" sqref="E1"/>
    </sheetView>
  </sheetViews>
  <sheetFormatPr defaultRowHeight="15" x14ac:dyDescent="0.25"/>
  <cols>
    <col min="1" max="1" width="12.5703125" customWidth="1"/>
    <col min="2" max="2" width="20" customWidth="1"/>
    <col min="3" max="4" width="18.85546875" customWidth="1"/>
  </cols>
  <sheetData>
    <row r="1" spans="1:6" x14ac:dyDescent="0.25">
      <c r="A1" s="30" t="s">
        <v>0</v>
      </c>
      <c r="B1" s="31" t="s">
        <v>1</v>
      </c>
      <c r="C1" s="31" t="s">
        <v>2</v>
      </c>
      <c r="D1" s="31" t="s">
        <v>3</v>
      </c>
    </row>
    <row r="2" spans="1:6" x14ac:dyDescent="0.25">
      <c r="A2">
        <v>1991</v>
      </c>
      <c r="B2" s="1">
        <v>2.2000000000000002</v>
      </c>
      <c r="C2" s="1">
        <v>6.4</v>
      </c>
      <c r="D2" s="1">
        <v>3.5</v>
      </c>
    </row>
    <row r="3" spans="1:6" x14ac:dyDescent="0.25">
      <c r="A3">
        <v>1992</v>
      </c>
      <c r="B3" s="1">
        <v>2.2000000000000002</v>
      </c>
      <c r="C3" s="1">
        <v>3.6</v>
      </c>
      <c r="D3" s="1">
        <v>5.4</v>
      </c>
    </row>
    <row r="4" spans="1:6" x14ac:dyDescent="0.25">
      <c r="A4">
        <v>1993</v>
      </c>
      <c r="B4" s="1">
        <v>2.2999999999999998</v>
      </c>
      <c r="C4" s="1">
        <v>3</v>
      </c>
      <c r="D4" s="1">
        <v>4.7</v>
      </c>
      <c r="F4" s="4"/>
    </row>
    <row r="5" spans="1:6" x14ac:dyDescent="0.25">
      <c r="A5">
        <v>1994</v>
      </c>
      <c r="B5" s="1">
        <v>2.4</v>
      </c>
      <c r="C5" s="1">
        <v>5.3</v>
      </c>
      <c r="D5" s="1">
        <v>3.9</v>
      </c>
    </row>
    <row r="6" spans="1:6" x14ac:dyDescent="0.25">
      <c r="A6">
        <v>1995</v>
      </c>
      <c r="B6" s="1">
        <v>2.4</v>
      </c>
      <c r="C6" s="1">
        <v>10.3</v>
      </c>
      <c r="D6" s="1">
        <v>5.0999999999999996</v>
      </c>
    </row>
    <row r="7" spans="1:6" x14ac:dyDescent="0.25">
      <c r="A7">
        <v>1996</v>
      </c>
      <c r="B7" s="1">
        <v>2.5</v>
      </c>
      <c r="C7" s="1">
        <v>2.4</v>
      </c>
      <c r="D7" s="1">
        <v>4.5</v>
      </c>
    </row>
    <row r="8" spans="1:6" x14ac:dyDescent="0.25">
      <c r="A8">
        <v>1997</v>
      </c>
      <c r="B8" s="1">
        <v>2.7</v>
      </c>
      <c r="C8" s="1">
        <v>5.3</v>
      </c>
      <c r="D8" s="1">
        <v>4.5</v>
      </c>
    </row>
    <row r="9" spans="1:6" x14ac:dyDescent="0.25">
      <c r="A9">
        <v>1998</v>
      </c>
      <c r="B9" s="1">
        <v>2.9</v>
      </c>
      <c r="C9" s="1">
        <v>8.4</v>
      </c>
      <c r="D9" s="1">
        <v>5.2</v>
      </c>
    </row>
    <row r="10" spans="1:6" x14ac:dyDescent="0.25">
      <c r="A10">
        <v>1999</v>
      </c>
      <c r="B10" s="1">
        <v>3.1</v>
      </c>
      <c r="C10" s="1">
        <v>6.1</v>
      </c>
      <c r="D10" s="1">
        <v>4.7</v>
      </c>
    </row>
    <row r="11" spans="1:6" x14ac:dyDescent="0.25">
      <c r="A11">
        <v>2000</v>
      </c>
      <c r="B11" s="1">
        <v>3.3</v>
      </c>
      <c r="C11" s="1">
        <v>2.2000000000000002</v>
      </c>
      <c r="D11" s="1">
        <v>5.3</v>
      </c>
    </row>
    <row r="12" spans="1:6" x14ac:dyDescent="0.25">
      <c r="A12">
        <v>2001</v>
      </c>
      <c r="B12" s="1">
        <v>3.6</v>
      </c>
      <c r="C12" s="1">
        <v>2</v>
      </c>
      <c r="D12" s="1">
        <v>5.0999999999999996</v>
      </c>
    </row>
    <row r="13" spans="1:6" x14ac:dyDescent="0.25">
      <c r="A13">
        <v>2002</v>
      </c>
      <c r="B13" s="1">
        <v>4</v>
      </c>
      <c r="C13" s="1">
        <v>3.3</v>
      </c>
      <c r="D13" s="1">
        <v>3.8</v>
      </c>
    </row>
    <row r="14" spans="1:6" x14ac:dyDescent="0.25">
      <c r="A14">
        <v>2003</v>
      </c>
      <c r="B14" s="1">
        <v>4.3</v>
      </c>
      <c r="C14" s="1">
        <v>5.7</v>
      </c>
      <c r="D14" s="1">
        <v>4.7</v>
      </c>
    </row>
    <row r="15" spans="1:6" x14ac:dyDescent="0.25">
      <c r="A15">
        <v>2004</v>
      </c>
      <c r="B15" s="1">
        <v>4.3</v>
      </c>
      <c r="C15" s="1">
        <v>7.6</v>
      </c>
      <c r="D15" s="1">
        <v>5.2</v>
      </c>
    </row>
    <row r="16" spans="1:6" x14ac:dyDescent="0.25">
      <c r="A16">
        <v>2005</v>
      </c>
      <c r="B16" s="1">
        <v>4.3</v>
      </c>
      <c r="C16" s="1">
        <v>7</v>
      </c>
      <c r="D16" s="1">
        <v>6.5</v>
      </c>
    </row>
    <row r="17" spans="1:4" x14ac:dyDescent="0.25">
      <c r="A17">
        <v>2006</v>
      </c>
      <c r="B17" s="1">
        <v>3.6</v>
      </c>
      <c r="C17" s="1">
        <v>6.8</v>
      </c>
      <c r="D17" s="1">
        <v>6.7</v>
      </c>
    </row>
    <row r="18" spans="1:4" x14ac:dyDescent="0.25">
      <c r="A18">
        <v>2007</v>
      </c>
      <c r="B18" s="1">
        <v>4</v>
      </c>
      <c r="C18" s="1">
        <v>9.1</v>
      </c>
      <c r="D18" s="1">
        <v>7.1</v>
      </c>
    </row>
    <row r="19" spans="1:4" x14ac:dyDescent="0.25">
      <c r="A19">
        <v>2008</v>
      </c>
      <c r="B19" s="1">
        <v>4.5</v>
      </c>
      <c r="C19" s="1">
        <v>8.9</v>
      </c>
      <c r="D19" s="1">
        <v>6</v>
      </c>
    </row>
    <row r="20" spans="1:4" x14ac:dyDescent="0.25">
      <c r="A20">
        <v>2009</v>
      </c>
      <c r="B20" s="1">
        <v>5</v>
      </c>
      <c r="C20" s="1">
        <v>5.4</v>
      </c>
      <c r="D20" s="1">
        <v>5</v>
      </c>
    </row>
    <row r="21" spans="1:4" x14ac:dyDescent="0.25">
      <c r="A21">
        <v>2010</v>
      </c>
      <c r="B21" s="1">
        <v>3.4</v>
      </c>
      <c r="C21" s="1">
        <v>8.1</v>
      </c>
      <c r="D21" s="1">
        <v>5.6</v>
      </c>
    </row>
    <row r="22" spans="1:4" x14ac:dyDescent="0.25">
      <c r="A22">
        <v>2011</v>
      </c>
      <c r="B22" s="1">
        <v>3.7</v>
      </c>
      <c r="C22" s="1">
        <v>11.4</v>
      </c>
      <c r="D22" s="1">
        <v>6.5</v>
      </c>
    </row>
    <row r="23" spans="1:4" x14ac:dyDescent="0.25">
      <c r="A23">
        <v>2012</v>
      </c>
      <c r="B23" s="1">
        <v>4.0999999999999996</v>
      </c>
      <c r="C23" s="1">
        <v>6.2</v>
      </c>
      <c r="D23" s="1">
        <v>6.5</v>
      </c>
    </row>
    <row r="24" spans="1:4" x14ac:dyDescent="0.25">
      <c r="A24">
        <v>2013</v>
      </c>
      <c r="B24" s="1">
        <v>4.4000000000000004</v>
      </c>
      <c r="C24" s="1">
        <v>7.5</v>
      </c>
      <c r="D24" s="1">
        <v>6</v>
      </c>
    </row>
    <row r="25" spans="1:4" x14ac:dyDescent="0.25">
      <c r="A25">
        <v>2014</v>
      </c>
      <c r="B25" s="1">
        <v>4.4000000000000004</v>
      </c>
      <c r="C25" s="1">
        <v>7</v>
      </c>
      <c r="D25" s="1">
        <v>6.1</v>
      </c>
    </row>
    <row r="26" spans="1:4" x14ac:dyDescent="0.25">
      <c r="A26">
        <v>2015</v>
      </c>
      <c r="B26" s="1">
        <v>4.4000000000000004</v>
      </c>
      <c r="C26" s="1">
        <v>6.2</v>
      </c>
      <c r="D26" s="1">
        <v>6.6</v>
      </c>
    </row>
    <row r="27" spans="1:4" x14ac:dyDescent="0.25">
      <c r="A27">
        <v>2016</v>
      </c>
      <c r="B27" s="1">
        <v>4.3</v>
      </c>
      <c r="C27" s="1">
        <v>5.5</v>
      </c>
      <c r="D27" s="1">
        <v>7.1</v>
      </c>
    </row>
    <row r="28" spans="1:4" x14ac:dyDescent="0.25">
      <c r="A28">
        <v>2017</v>
      </c>
      <c r="B28" s="1">
        <v>4.4000000000000004</v>
      </c>
      <c r="C28" s="1">
        <v>5.7</v>
      </c>
      <c r="D28" s="1">
        <v>6.6</v>
      </c>
    </row>
    <row r="29" spans="1:4" x14ac:dyDescent="0.25">
      <c r="A29">
        <v>2018</v>
      </c>
      <c r="B29" s="1">
        <v>4.4000000000000004</v>
      </c>
      <c r="C29" s="1">
        <v>5.5</v>
      </c>
      <c r="D29" s="1">
        <v>7.3</v>
      </c>
    </row>
    <row r="30" spans="1:4" x14ac:dyDescent="0.25">
      <c r="A30">
        <v>2019</v>
      </c>
      <c r="B30" s="1">
        <v>4.4000000000000004</v>
      </c>
      <c r="C30" s="1">
        <v>5.6</v>
      </c>
      <c r="D30" s="1">
        <v>7.9</v>
      </c>
    </row>
    <row r="31" spans="1:4" x14ac:dyDescent="0.25">
      <c r="A31">
        <v>2020</v>
      </c>
      <c r="B31" s="1">
        <v>5.4</v>
      </c>
      <c r="C31" s="1">
        <v>5.7</v>
      </c>
      <c r="D31" s="1">
        <v>3.4</v>
      </c>
    </row>
    <row r="32" spans="1:4" x14ac:dyDescent="0.25">
      <c r="A32">
        <v>2021</v>
      </c>
      <c r="B32" s="1">
        <v>5.3</v>
      </c>
      <c r="C32" s="1">
        <v>5.5</v>
      </c>
      <c r="D32" s="1">
        <v>6.9</v>
      </c>
    </row>
    <row r="33" spans="1:4" x14ac:dyDescent="0.25">
      <c r="A33">
        <v>2022</v>
      </c>
      <c r="B33" s="1">
        <v>4.5999999999999996</v>
      </c>
      <c r="C33" s="1">
        <v>7.7</v>
      </c>
      <c r="D33" s="1">
        <v>7.1</v>
      </c>
    </row>
    <row r="34" spans="1:4" x14ac:dyDescent="0.25">
      <c r="A34">
        <v>2023</v>
      </c>
      <c r="B34" s="1">
        <v>4.5</v>
      </c>
      <c r="C34" s="1">
        <v>9.9</v>
      </c>
      <c r="D34" s="1">
        <v>5.8</v>
      </c>
    </row>
    <row r="35" spans="1:4" x14ac:dyDescent="0.25">
      <c r="A35">
        <v>2024</v>
      </c>
      <c r="B35" s="1">
        <v>4.7</v>
      </c>
      <c r="C35" s="1">
        <v>10.5</v>
      </c>
      <c r="D35" s="1">
        <v>4.2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EBD4-BEE2-4BF9-A067-8C2CB9953657}">
  <dimension ref="A1:K34"/>
  <sheetViews>
    <sheetView zoomScale="80" zoomScaleNormal="80" workbookViewId="0">
      <selection activeCell="B26" sqref="B26"/>
    </sheetView>
  </sheetViews>
  <sheetFormatPr defaultRowHeight="15" x14ac:dyDescent="0.25"/>
  <cols>
    <col min="1" max="1" width="30.7109375" customWidth="1"/>
    <col min="2" max="2" width="38.42578125" customWidth="1"/>
    <col min="3" max="3" width="17.28515625" customWidth="1"/>
    <col min="4" max="4" width="20.140625" customWidth="1"/>
    <col min="5" max="5" width="20.5703125" customWidth="1"/>
    <col min="6" max="6" width="33.7109375" customWidth="1"/>
    <col min="7" max="7" width="15.5703125" customWidth="1"/>
  </cols>
  <sheetData>
    <row r="1" spans="1:8" ht="18.75" customHeight="1" x14ac:dyDescent="0.3">
      <c r="A1" s="32" t="s">
        <v>4</v>
      </c>
      <c r="B1" s="33" t="s">
        <v>5</v>
      </c>
    </row>
    <row r="2" spans="1:8" ht="18.75" customHeight="1" x14ac:dyDescent="0.3">
      <c r="A2" s="34" t="s">
        <v>6</v>
      </c>
      <c r="B2" s="35" t="s">
        <v>7</v>
      </c>
    </row>
    <row r="3" spans="1:8" ht="18.75" customHeight="1" x14ac:dyDescent="0.3">
      <c r="A3" s="34" t="s">
        <v>8</v>
      </c>
      <c r="B3" s="35" t="s">
        <v>9</v>
      </c>
    </row>
    <row r="4" spans="1:8" ht="18.75" customHeight="1" thickBot="1" x14ac:dyDescent="0.35">
      <c r="A4" s="36" t="s">
        <v>10</v>
      </c>
      <c r="B4" s="37">
        <f>COUNT('Cleaned_ Data'!A2:'Cleaned_ Data'!A35)</f>
        <v>34</v>
      </c>
    </row>
    <row r="5" spans="1:8" ht="40.5" customHeight="1" thickBot="1" x14ac:dyDescent="0.3">
      <c r="A5" s="3"/>
      <c r="B5" s="3"/>
      <c r="C5" s="3"/>
      <c r="D5" s="3"/>
      <c r="E5" s="3"/>
      <c r="F5" s="3"/>
      <c r="G5" s="3"/>
    </row>
    <row r="6" spans="1:8" ht="30.75" customHeight="1" thickBot="1" x14ac:dyDescent="0.4">
      <c r="A6" s="45" t="s">
        <v>25</v>
      </c>
      <c r="B6" s="46"/>
      <c r="C6" s="46"/>
      <c r="D6" s="46"/>
      <c r="E6" s="46"/>
      <c r="F6" s="47"/>
      <c r="G6" s="3"/>
    </row>
    <row r="7" spans="1:8" ht="25.5" customHeight="1" x14ac:dyDescent="0.25">
      <c r="A7" s="23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24" t="s">
        <v>16</v>
      </c>
      <c r="G7" s="3"/>
    </row>
    <row r="8" spans="1:8" ht="30.75" customHeight="1" x14ac:dyDescent="0.25">
      <c r="A8" s="25" t="s">
        <v>1</v>
      </c>
      <c r="B8" s="6">
        <f>AVERAGE('Cleaned_ Data'!B2:'Cleaned_ Data'!B35)</f>
        <v>3.8235294117647065</v>
      </c>
      <c r="C8" s="6">
        <f>MEDIAN('Cleaned_ Data'!B2:'Cleaned_ Data'!B35)</f>
        <v>4.1999999999999993</v>
      </c>
      <c r="D8" s="6">
        <f>MIN('Cleaned_ Data'!B2:'Cleaned_ Data'!B35)</f>
        <v>2.2000000000000002</v>
      </c>
      <c r="E8" s="6">
        <f>MAX('Cleaned_ Data'!B2:'Cleaned_ Data'!B35)</f>
        <v>5.4</v>
      </c>
      <c r="F8" s="26">
        <f>_xlfn.STDEV.S('Cleaned_ Data'!B2:'Cleaned_ Data'!B35)</f>
        <v>0.92082269656143312</v>
      </c>
      <c r="G8" s="3"/>
    </row>
    <row r="9" spans="1:8" ht="27.75" customHeight="1" x14ac:dyDescent="0.25">
      <c r="A9" s="25" t="s">
        <v>2</v>
      </c>
      <c r="B9" s="6">
        <f>AVERAGE('Cleaned_ Data'!C2:'Cleaned_ Data'!C35)</f>
        <v>6.3764705882352919</v>
      </c>
      <c r="C9" s="6">
        <f>MEDIAN('Cleaned_ Data'!C2:'Cleaned_ Data'!C35)</f>
        <v>6.15</v>
      </c>
      <c r="D9" s="6">
        <f>MIN('Cleaned_ Data'!C2:'Cleaned_ Data'!C35)</f>
        <v>2</v>
      </c>
      <c r="E9" s="6">
        <f>MAX('Cleaned_ Data'!C2:'Cleaned_ Data'!C35)</f>
        <v>11.4</v>
      </c>
      <c r="F9" s="26">
        <f>_xlfn.STDEV.S('Cleaned_ Data'!C2:'Cleaned_ Data'!C35)</f>
        <v>2.3679755864232721</v>
      </c>
      <c r="G9" s="3"/>
    </row>
    <row r="10" spans="1:8" ht="26.25" customHeight="1" thickBot="1" x14ac:dyDescent="0.3">
      <c r="A10" s="27" t="s">
        <v>3</v>
      </c>
      <c r="B10" s="28">
        <f>AVERAGE('Cleaned_ Data'!D2:'Cleaned_ Data'!D35)</f>
        <v>5.6029411764705879</v>
      </c>
      <c r="C10" s="28">
        <f>MEDIAN('Cleaned_ Data'!D2:'Cleaned_ Data'!D35)</f>
        <v>5.5</v>
      </c>
      <c r="D10" s="28">
        <f>MIN('Cleaned_ Data'!D2:'Cleaned_ Data'!D35)</f>
        <v>3.4</v>
      </c>
      <c r="E10" s="28">
        <f>MAX('Cleaned_ Data'!D2:'Cleaned_ Data'!D35)</f>
        <v>7.9</v>
      </c>
      <c r="F10" s="29">
        <f>_xlfn.STDEV.S('Cleaned_ Data'!D2:'Cleaned_ Data'!D35)</f>
        <v>1.1853871108188851</v>
      </c>
      <c r="G10" s="3"/>
    </row>
    <row r="11" spans="1:8" ht="23.25" customHeight="1" x14ac:dyDescent="0.25">
      <c r="A11" s="2"/>
      <c r="B11" s="2"/>
      <c r="C11" s="2"/>
      <c r="D11" s="2"/>
      <c r="E11" s="2"/>
      <c r="F11" s="2"/>
      <c r="G11" s="2"/>
    </row>
    <row r="12" spans="1:8" ht="27.75" customHeight="1" thickBot="1" x14ac:dyDescent="0.3">
      <c r="A12" s="2"/>
      <c r="B12" s="2"/>
      <c r="C12" s="2"/>
      <c r="D12" s="2"/>
      <c r="E12" s="2"/>
      <c r="F12" s="2"/>
      <c r="G12" s="2"/>
    </row>
    <row r="13" spans="1:8" ht="29.25" customHeight="1" x14ac:dyDescent="0.35">
      <c r="A13" s="42" t="s">
        <v>27</v>
      </c>
      <c r="B13" s="43"/>
      <c r="C13" s="43"/>
      <c r="D13" s="43"/>
      <c r="E13" s="43"/>
      <c r="F13" s="43"/>
      <c r="G13" s="44"/>
    </row>
    <row r="14" spans="1:8" ht="24.75" customHeight="1" x14ac:dyDescent="0.25">
      <c r="A14" s="11" t="s">
        <v>11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22</v>
      </c>
      <c r="G14" s="12" t="s">
        <v>23</v>
      </c>
      <c r="H14" s="3"/>
    </row>
    <row r="15" spans="1:8" ht="28.5" customHeight="1" x14ac:dyDescent="0.25">
      <c r="A15" s="18" t="s">
        <v>1</v>
      </c>
      <c r="B15" s="8">
        <f>_xlfn.QUARTILE.INC('Cleaned_ Data'!B2:'Cleaned_ Data'!B35,1)</f>
        <v>3.15</v>
      </c>
      <c r="C15" s="8">
        <f>_xlfn.QUARTILE.INC('Cleaned_ Data'!B2:'Cleaned_ Data'!B35,3)</f>
        <v>4.4000000000000004</v>
      </c>
      <c r="D15" s="8">
        <f>Table5[[#This Row],[Q3]]-Table5[[#This Row],[Q1]]</f>
        <v>1.2500000000000004</v>
      </c>
      <c r="E15" s="8">
        <f>Table5[[#This Row],[Q1]]-1.5*Table5[[#This Row],[IQR]]</f>
        <v>1.2749999999999992</v>
      </c>
      <c r="F15" s="8">
        <f>Table5[[#This Row],[Q3]]+1.5*Table5[[#This Row],[IQR]]</f>
        <v>6.2750000000000012</v>
      </c>
      <c r="G15" s="19" t="s">
        <v>24</v>
      </c>
    </row>
    <row r="16" spans="1:8" ht="30" customHeight="1" x14ac:dyDescent="0.25">
      <c r="A16" s="18" t="s">
        <v>2</v>
      </c>
      <c r="B16" s="8">
        <f>_xlfn.QUARTILE.INC('Cleaned_ Data'!C2:'Cleaned_ Data'!C35,1)</f>
        <v>5.4250000000000007</v>
      </c>
      <c r="C16" s="8">
        <f>_xlfn.QUARTILE.INC('Cleaned_ Data'!C2:'Cleaned_ Data'!C35,3)</f>
        <v>7.6749999999999998</v>
      </c>
      <c r="D16" s="8">
        <f>Table5[[#This Row],[Q3]]-Table5[[#This Row],[Q1]]</f>
        <v>2.2499999999999991</v>
      </c>
      <c r="E16" s="8">
        <f>Table5[[#This Row],[Q1]]-1.5*Table5[[#This Row],[IQR]]</f>
        <v>2.050000000000002</v>
      </c>
      <c r="F16" s="8">
        <f>Table5[[#This Row],[Q3]]+1.5*Table5[[#This Row],[IQR]]</f>
        <v>11.049999999999999</v>
      </c>
      <c r="G16" s="19">
        <v>2</v>
      </c>
    </row>
    <row r="17" spans="1:11" ht="29.25" customHeight="1" thickBot="1" x14ac:dyDescent="0.3">
      <c r="A17" s="20" t="s">
        <v>3</v>
      </c>
      <c r="B17" s="21">
        <f>_xlfn.QUARTILE.INC('Cleaned_ Data'!D2:'Cleaned_ Data'!D35,1)</f>
        <v>4.7</v>
      </c>
      <c r="C17" s="21">
        <f>_xlfn.QUARTILE.INC('Cleaned_ Data'!D2:'Cleaned_ Data'!D35,3)</f>
        <v>6.5749999999999993</v>
      </c>
      <c r="D17" s="21">
        <f>Table5[[#This Row],[Q3]]-Table5[[#This Row],[Q1]]</f>
        <v>1.8749999999999991</v>
      </c>
      <c r="E17" s="21">
        <f>Table5[[#This Row],[Q1]]-1.5*Table5[[#This Row],[IQR]]</f>
        <v>1.8875000000000015</v>
      </c>
      <c r="F17" s="21">
        <f>Table5[[#This Row],[Q3]]+1.5*Table5[[#This Row],[IQR]]</f>
        <v>9.3874999999999975</v>
      </c>
      <c r="G17" s="22" t="s">
        <v>24</v>
      </c>
    </row>
    <row r="18" spans="1:11" ht="24.75" customHeight="1" x14ac:dyDescent="0.25">
      <c r="A18" s="3"/>
      <c r="B18" s="3"/>
      <c r="C18" s="3"/>
      <c r="D18" s="3"/>
      <c r="E18" s="3"/>
      <c r="F18" s="3"/>
      <c r="G18" s="3"/>
    </row>
    <row r="19" spans="1:11" ht="24.75" customHeight="1" thickBot="1" x14ac:dyDescent="0.3">
      <c r="A19" s="3"/>
      <c r="B19" s="3"/>
      <c r="C19" s="3"/>
      <c r="D19" s="3"/>
      <c r="E19" s="3"/>
      <c r="F19" s="3"/>
      <c r="G19" s="3"/>
    </row>
    <row r="20" spans="1:11" ht="35.25" customHeight="1" x14ac:dyDescent="0.35">
      <c r="A20" s="42" t="s">
        <v>26</v>
      </c>
      <c r="B20" s="43"/>
      <c r="C20" s="43"/>
      <c r="D20" s="44"/>
    </row>
    <row r="21" spans="1:11" ht="31.5" customHeight="1" x14ac:dyDescent="0.25">
      <c r="A21" s="11" t="s">
        <v>17</v>
      </c>
      <c r="B21" s="7" t="s">
        <v>1</v>
      </c>
      <c r="C21" s="7" t="s">
        <v>2</v>
      </c>
      <c r="D21" s="12" t="s">
        <v>3</v>
      </c>
    </row>
    <row r="22" spans="1:11" ht="29.25" customHeight="1" x14ac:dyDescent="0.25">
      <c r="A22" s="13" t="s">
        <v>1</v>
      </c>
      <c r="B22" s="10">
        <v>1</v>
      </c>
      <c r="C22" s="9"/>
      <c r="D22" s="14"/>
    </row>
    <row r="23" spans="1:11" ht="26.25" customHeight="1" x14ac:dyDescent="0.25">
      <c r="A23" s="13" t="s">
        <v>2</v>
      </c>
      <c r="B23" s="10">
        <f>CORREL('Cleaned_ Data'!B2:'Cleaned_ Data'!B35,'Cleaned_ Data'!C2:'Cleaned_ Data'!C35)</f>
        <v>0.23484931350147495</v>
      </c>
      <c r="C23" s="10">
        <v>1</v>
      </c>
      <c r="D23" s="14"/>
    </row>
    <row r="24" spans="1:11" ht="35.25" customHeight="1" thickBot="1" x14ac:dyDescent="0.3">
      <c r="A24" s="15" t="s">
        <v>3</v>
      </c>
      <c r="B24" s="16">
        <f>CORREL('Cleaned_ Data'!B2:'Cleaned_ Data'!B35,'Cleaned_ Data'!D2:'Cleaned_ Data'!D35)</f>
        <v>0.40664712956833299</v>
      </c>
      <c r="C24" s="16">
        <f>CORREL('Cleaned_ Data'!C2:'Cleaned_ Data'!C35,'Cleaned_ Data'!D2:'Cleaned_ Data'!D35)</f>
        <v>0.22846127284518961</v>
      </c>
      <c r="D24" s="17">
        <v>1</v>
      </c>
    </row>
    <row r="25" spans="1:11" ht="22.5" customHeight="1" x14ac:dyDescent="0.25"/>
    <row r="26" spans="1:11" ht="23.25" customHeight="1" x14ac:dyDescent="0.25"/>
    <row r="27" spans="1:11" ht="30" customHeight="1" x14ac:dyDescent="0.35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</row>
    <row r="28" spans="1:11" ht="21" customHeight="1" x14ac:dyDescent="0.25"/>
    <row r="29" spans="1:11" ht="28.5" customHeight="1" x14ac:dyDescent="0.3">
      <c r="A29" s="39"/>
      <c r="B29" s="39"/>
      <c r="C29" s="39"/>
      <c r="D29" s="39"/>
      <c r="E29" s="39"/>
      <c r="F29" s="39"/>
      <c r="G29" s="39"/>
      <c r="H29" s="39"/>
      <c r="I29" s="40"/>
      <c r="J29" s="41"/>
      <c r="K29" s="41"/>
    </row>
    <row r="30" spans="1:11" ht="24.75" customHeight="1" x14ac:dyDescent="0.3">
      <c r="A30" s="39"/>
      <c r="B30" s="39"/>
      <c r="C30" s="39"/>
      <c r="D30" s="39"/>
      <c r="E30" s="39"/>
      <c r="F30" s="39"/>
      <c r="G30" s="39"/>
      <c r="H30" s="39"/>
      <c r="I30" s="40"/>
      <c r="J30" s="41"/>
      <c r="K30" s="41"/>
    </row>
    <row r="31" spans="1:11" ht="23.25" customHeight="1" x14ac:dyDescent="0.3">
      <c r="A31" s="39"/>
      <c r="B31" s="39"/>
      <c r="C31" s="39"/>
      <c r="D31" s="39"/>
      <c r="E31" s="39"/>
      <c r="F31" s="39"/>
      <c r="G31" s="39"/>
      <c r="H31" s="39"/>
      <c r="I31" s="40"/>
      <c r="J31" s="41"/>
      <c r="K31" s="41"/>
    </row>
    <row r="32" spans="1:11" ht="21.75" customHeight="1" x14ac:dyDescent="0.3">
      <c r="A32" s="39"/>
      <c r="B32" s="39"/>
      <c r="C32" s="39"/>
      <c r="D32" s="39"/>
      <c r="E32" s="39"/>
      <c r="F32" s="39"/>
      <c r="G32" s="39"/>
      <c r="H32" s="39"/>
      <c r="I32" s="40"/>
      <c r="J32" s="41"/>
      <c r="K32" s="41"/>
    </row>
    <row r="33" spans="1:11" ht="23.25" customHeight="1" x14ac:dyDescent="0.3">
      <c r="A33" s="39"/>
      <c r="B33" s="39"/>
      <c r="C33" s="39"/>
      <c r="D33" s="39"/>
      <c r="E33" s="39"/>
      <c r="F33" s="39"/>
      <c r="G33" s="39"/>
      <c r="H33" s="39"/>
      <c r="I33" s="40"/>
      <c r="J33" s="41"/>
      <c r="K33" s="41"/>
    </row>
    <row r="34" spans="1:11" ht="18.75" x14ac:dyDescent="0.3">
      <c r="A34" s="38"/>
      <c r="B34" s="38"/>
      <c r="C34" s="38"/>
      <c r="D34" s="38"/>
      <c r="E34" s="38"/>
      <c r="F34" s="38"/>
      <c r="G34" s="38"/>
      <c r="H34" s="38"/>
    </row>
  </sheetData>
  <mergeCells count="3">
    <mergeCell ref="A20:D20"/>
    <mergeCell ref="A6:F6"/>
    <mergeCell ref="A13:G13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B559-3556-4ACF-AA75-D61D8ADA7501}">
  <dimension ref="A1"/>
  <sheetViews>
    <sheetView tabSelected="1" topLeftCell="J1" zoomScale="90" zoomScaleNormal="90" workbookViewId="0">
      <selection activeCell="L32" sqref="L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 Data</vt:lpstr>
      <vt:lpstr>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2026-08-05T18:22:53Z</dcterms:created>
  <dcterms:modified xsi:type="dcterms:W3CDTF">2026-08-11T18:23:17Z</dcterms:modified>
</cp:coreProperties>
</file>